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9440" windowHeight="8085" firstSheet="1" activeTab="2"/>
  </bookViews>
  <sheets>
    <sheet name="referents" sheetId="2" state="hidden" r:id="rId1"/>
    <sheet name="infos" sheetId="12" r:id="rId2"/>
    <sheet name="celebration" sheetId="1" r:id="rId3"/>
    <sheet name="shortcuts" sheetId="3" r:id="rId4"/>
  </sheets>
  <definedNames>
    <definedName name="_xlnm.Print_Titles" localSheetId="2">celebration!$1:$2</definedName>
  </definedNames>
  <calcPr calcId="145621"/>
</workbook>
</file>

<file path=xl/calcChain.xml><?xml version="1.0" encoding="utf-8"?>
<calcChain xmlns="http://schemas.openxmlformats.org/spreadsheetml/2006/main">
  <c r="C15" i="1" l="1"/>
  <c r="E1" i="1"/>
  <c r="D1" i="1"/>
  <c r="A1" i="1"/>
  <c r="A25" i="1" l="1"/>
  <c r="A24" i="1"/>
  <c r="C16" i="1" l="1"/>
  <c r="C17" i="1" s="1"/>
  <c r="C18" i="1" s="1"/>
  <c r="C19" i="1" s="1"/>
  <c r="C20" i="1" l="1"/>
  <c r="C21" i="1" s="1"/>
  <c r="C22" i="1" s="1"/>
  <c r="A16" i="1"/>
  <c r="A17" i="1" s="1"/>
  <c r="A18" i="1" s="1"/>
  <c r="A19" i="1" s="1"/>
  <c r="C23" i="1" l="1"/>
  <c r="C24" i="1" s="1"/>
  <c r="C25" i="1" s="1"/>
  <c r="A20" i="1"/>
  <c r="A21" i="1" s="1"/>
  <c r="A22" i="1" s="1"/>
  <c r="C26" i="1" l="1"/>
  <c r="C27" i="1" s="1"/>
  <c r="C28" i="1" s="1"/>
  <c r="C29" i="1" s="1"/>
  <c r="C30" i="1" s="1"/>
  <c r="A23" i="1"/>
  <c r="A26" i="1" l="1"/>
  <c r="A27" i="1" s="1"/>
  <c r="A28" i="1" s="1"/>
  <c r="A29" i="1" s="1"/>
  <c r="A30" i="1" s="1"/>
</calcChain>
</file>

<file path=xl/sharedStrings.xml><?xml version="1.0" encoding="utf-8"?>
<sst xmlns="http://schemas.openxmlformats.org/spreadsheetml/2006/main" count="137" uniqueCount="126">
  <si>
    <t>N°</t>
  </si>
  <si>
    <t>Durée</t>
  </si>
  <si>
    <t>Heure</t>
  </si>
  <si>
    <t>Action</t>
  </si>
  <si>
    <t>Textes &amp; chants</t>
  </si>
  <si>
    <t>Son</t>
  </si>
  <si>
    <t>Lumière</t>
  </si>
  <si>
    <t>Cyclo</t>
  </si>
  <si>
    <t>Vidéo</t>
  </si>
  <si>
    <t>Matériel :</t>
  </si>
  <si>
    <t>Besoins humains :</t>
  </si>
  <si>
    <t>Célébrant :</t>
  </si>
  <si>
    <t>Ici on met le(s) évêque(s) en charge de la célébration</t>
  </si>
  <si>
    <t>Ici on place les personnes nécessaires à la célébration (un item par ligne)</t>
  </si>
  <si>
    <t>Référents :</t>
  </si>
  <si>
    <t>Ici on place les membres de la commission qui seront référents (un référent par ligne)</t>
  </si>
  <si>
    <t>Patch :</t>
  </si>
  <si>
    <t>HF1 : 
HF2 : 
HF3 : 
HF4 : 
HF5 : 
HF6 : 
Micro-casque : 
Ambon</t>
  </si>
  <si>
    <t>Résumé :</t>
  </si>
  <si>
    <t>On indique ici l'ambiance générale souhaitée</t>
  </si>
  <si>
    <t>On indique ici les séquences sur lesquelles on aura des animations spécifiques</t>
  </si>
  <si>
    <t>Dernier chant de chargement : CHANT</t>
  </si>
  <si>
    <t>TOP CHANT</t>
  </si>
  <si>
    <t>Action normale</t>
  </si>
  <si>
    <t>Description action</t>
  </si>
  <si>
    <t>Ici on place le matériel sous forme de liste (un item par ligne)
- x sièges sur le podium
- 1 encensoir
- 2 cierges
- …</t>
  </si>
  <si>
    <t>On indique ici les séquences sur lesquelles on aura des vidéos spécifiques</t>
  </si>
  <si>
    <t>Chants de déchargement :
Ici on ajoute les chants de déchargement (1 par ligne)
- CHANT 1
- CHANT 2
- CHANT 3
- CHANT 4</t>
  </si>
  <si>
    <t>Prise de parole XXX</t>
  </si>
  <si>
    <t>XXX fait Y et Z et introduit le clip C</t>
  </si>
  <si>
    <t>TOP VIDEO</t>
  </si>
  <si>
    <t>Vidéo comm 1</t>
  </si>
  <si>
    <t>Reste du chargement</t>
  </si>
  <si>
    <t>Dernier chant de chargement</t>
  </si>
  <si>
    <t>TOP DEBUT DE CELE</t>
  </si>
  <si>
    <t>ABBA PÈRE</t>
  </si>
  <si>
    <t>Chants de chargement :
Ici on ajoute les chants de chargement (1 par ligne)
- CHANT 1
- CHANT 2
- CHANT 3
- CHANT 4</t>
  </si>
  <si>
    <t>CHANT</t>
  </si>
  <si>
    <t>Reste du déchargement</t>
  </si>
  <si>
    <t>Chant : LOUEZ-LE</t>
  </si>
  <si>
    <t>Hélène</t>
  </si>
  <si>
    <t>Pauline</t>
  </si>
  <si>
    <t>Miranda</t>
  </si>
  <si>
    <t>Nico</t>
  </si>
  <si>
    <t>Mag</t>
  </si>
  <si>
    <t>Vianney</t>
  </si>
  <si>
    <t>Alex</t>
  </si>
  <si>
    <t>Marie-Ange</t>
  </si>
  <si>
    <t>Vio</t>
  </si>
  <si>
    <t>Gaël</t>
  </si>
  <si>
    <t>Bertrand</t>
  </si>
  <si>
    <t>Anne-Christine</t>
  </si>
  <si>
    <t>Flo</t>
  </si>
  <si>
    <t>Scribe</t>
  </si>
  <si>
    <t>Cyril</t>
  </si>
  <si>
    <t>Hortense</t>
  </si>
  <si>
    <t>Eric</t>
  </si>
  <si>
    <t>Camille</t>
  </si>
  <si>
    <t>Nhaty</t>
  </si>
  <si>
    <t>Lucie</t>
  </si>
  <si>
    <t>Aurélie</t>
  </si>
  <si>
    <t>Christophe</t>
  </si>
  <si>
    <t>Léa</t>
  </si>
  <si>
    <t>Christine</t>
  </si>
  <si>
    <t>Anne-Laure</t>
  </si>
  <si>
    <t>Alexandre</t>
  </si>
  <si>
    <t>Myriam</t>
  </si>
  <si>
    <t>Alexis</t>
  </si>
  <si>
    <t>Raccourci</t>
  </si>
  <si>
    <t>Pourquoi ?</t>
  </si>
  <si>
    <t>Description</t>
  </si>
  <si>
    <t>"more"</t>
  </si>
  <si>
    <t>Ajouter une ligne au-dessus de la ligne courante</t>
  </si>
  <si>
    <t>"less"</t>
  </si>
  <si>
    <t>Supprimer la ligne courante</t>
  </si>
  <si>
    <t>"normalize"</t>
  </si>
  <si>
    <t>Mise en forme par défaut de la ligne courante</t>
  </si>
  <si>
    <t>"top"</t>
  </si>
  <si>
    <t>Transforme la ligne courante en TOP</t>
  </si>
  <si>
    <t>"déchargement", "début"</t>
  </si>
  <si>
    <t>Transforme la ligne courante en séquence début de célé ou déchargement</t>
  </si>
  <si>
    <t>"embarquement"</t>
  </si>
  <si>
    <t>Transforme la ligne courante en séquence ouverture des portes (chargement)</t>
  </si>
  <si>
    <t>"bishop"</t>
  </si>
  <si>
    <t>Ajoute un évêque ou un VG à la cellule courante</t>
  </si>
  <si>
    <t>"référent"</t>
  </si>
  <si>
    <t>"duplicate"</t>
  </si>
  <si>
    <t>ctrl (win) ou ctrl (mac) + m</t>
  </si>
  <si>
    <t>ctrl (win) ou ctrl (mac) + l</t>
  </si>
  <si>
    <t>ctrl (win) ou ctrl (mac) + n</t>
  </si>
  <si>
    <t>ctrl (win) ou ctrl (mac) + t</t>
  </si>
  <si>
    <t>ctrl (win) ou ctrl (mac) + d</t>
  </si>
  <si>
    <t>ctrl (win) ou ctrl (mac) + e</t>
  </si>
  <si>
    <t>ctrl (win) ou ctrl (mac) + b</t>
  </si>
  <si>
    <t>ctrl (win) ou ctrl (mac) + r</t>
  </si>
  <si>
    <t>ctrl (win) ou ctrl (mac) + shift + d</t>
  </si>
  <si>
    <t>Ajoute un référent à la cellule courante (l'autocomplétion ne fonctionne pas sous Mac)</t>
  </si>
  <si>
    <t>TOP OUVERTURE DES PORTES</t>
  </si>
  <si>
    <t>CHANT DE FIN DE CELEBRATION</t>
  </si>
  <si>
    <t>LOUEZ-LE</t>
  </si>
  <si>
    <t>TOP VIDEO TEMOINS</t>
  </si>
  <si>
    <t>Pour la célé d'accueil, de messe et d'envoi</t>
  </si>
  <si>
    <t>FRAT - Conducteur liturgie</t>
  </si>
  <si>
    <t>Merci de remplir les informations ci-dessous qui complèteront automatiquement le conducteur !</t>
  </si>
  <si>
    <t>Année</t>
  </si>
  <si>
    <t>Nom de la célébration</t>
  </si>
  <si>
    <t>Heure du chargement</t>
  </si>
  <si>
    <t>Heure de début de célébration</t>
  </si>
  <si>
    <t>Heure de fin de célébration</t>
  </si>
  <si>
    <t>Heure de fin de chargement</t>
  </si>
  <si>
    <t>Version du conducteur</t>
  </si>
  <si>
    <t>au format HH:mm:ss</t>
  </si>
  <si>
    <t>Date de la célébration</t>
  </si>
  <si>
    <t>au format JJ/MM/AAAA</t>
  </si>
  <si>
    <t>Célébration</t>
  </si>
  <si>
    <t>song</t>
  </si>
  <si>
    <t>mgr</t>
  </si>
  <si>
    <t>padre</t>
  </si>
  <si>
    <t>vid</t>
  </si>
  <si>
    <t>int</t>
  </si>
  <si>
    <t>txt</t>
  </si>
  <si>
    <t>act</t>
  </si>
  <si>
    <t>ctrl (win) ou ctrl (mac) + shift + w</t>
  </si>
  <si>
    <t>"word"</t>
  </si>
  <si>
    <t>Duplique le conducteur et prépare les versions communication et SB… c'est la première commande magique !</t>
  </si>
  <si>
    <t>Exporte le conducteur (onglet celebration) sous Word… et ça, c'est la deuxième commande magique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</si>
</sst>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4" xfId="0" applyFont="1" applyBorder="1" applyAlignment="1">
      <alignment vertical="top" wrapText="1"/>
    </xf>
    <xf numFmtId="0" fontId="3" fillId="0" borderId="4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164" fontId="3" fillId="0" borderId="1" xfId="0" applyNumberFormat="1" applyFont="1" applyBorder="1" applyAlignment="1">
      <alignment horizontal="center" vertical="center" wrapText="1"/>
    </xf>
    <xf numFmtId="164" fontId="2" fillId="0" borderId="3" xfId="0" applyNumberFormat="1" applyFont="1" applyBorder="1" applyAlignment="1">
      <alignment horizontal="center" vertical="top" wrapText="1"/>
    </xf>
    <xf numFmtId="164" fontId="2" fillId="0" borderId="4" xfId="0" applyNumberFormat="1" applyFont="1" applyBorder="1" applyAlignment="1">
      <alignment horizontal="center" vertical="top" wrapText="1"/>
    </xf>
    <xf numFmtId="164" fontId="2" fillId="0" borderId="0" xfId="0" applyNumberFormat="1" applyFont="1" applyAlignment="1">
      <alignment horizontal="center" vertical="top" wrapText="1"/>
    </xf>
    <xf numFmtId="0" fontId="2" fillId="4" borderId="5" xfId="0" applyFont="1" applyFill="1" applyBorder="1" applyAlignment="1">
      <alignment horizontal="center" vertical="top" wrapText="1"/>
    </xf>
    <xf numFmtId="164" fontId="2" fillId="4" borderId="5" xfId="0" applyNumberFormat="1" applyFont="1" applyFill="1" applyBorder="1" applyAlignment="1">
      <alignment horizontal="center" vertical="top" wrapText="1"/>
    </xf>
    <xf numFmtId="0" fontId="2" fillId="4" borderId="5" xfId="0" applyFont="1" applyFill="1" applyBorder="1" applyAlignment="1">
      <alignment vertical="top" wrapText="1"/>
    </xf>
    <xf numFmtId="0" fontId="2" fillId="3" borderId="6" xfId="0" applyFont="1" applyFill="1" applyBorder="1" applyAlignment="1">
      <alignment horizontal="center" vertical="top" wrapText="1"/>
    </xf>
    <xf numFmtId="164" fontId="2" fillId="3" borderId="6" xfId="0" applyNumberFormat="1" applyFont="1" applyFill="1" applyBorder="1" applyAlignment="1">
      <alignment horizontal="center" vertical="top" wrapText="1"/>
    </xf>
    <xf numFmtId="0" fontId="3" fillId="3" borderId="6" xfId="0" applyFont="1" applyFill="1" applyBorder="1" applyAlignment="1">
      <alignment vertical="top" wrapText="1"/>
    </xf>
    <xf numFmtId="0" fontId="2" fillId="3" borderId="6" xfId="0" applyFont="1" applyFill="1" applyBorder="1" applyAlignment="1">
      <alignment vertical="top" wrapText="1"/>
    </xf>
    <xf numFmtId="0" fontId="1" fillId="0" borderId="0" xfId="0" applyFont="1" applyFill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top" wrapText="1"/>
    </xf>
    <xf numFmtId="164" fontId="2" fillId="4" borderId="6" xfId="0" applyNumberFormat="1" applyFont="1" applyFill="1" applyBorder="1" applyAlignment="1">
      <alignment horizontal="center" vertical="top" wrapText="1"/>
    </xf>
    <xf numFmtId="0" fontId="2" fillId="4" borderId="6" xfId="0" applyFont="1" applyFill="1" applyBorder="1" applyAlignment="1">
      <alignment vertical="top" wrapText="1"/>
    </xf>
    <xf numFmtId="0" fontId="2" fillId="3" borderId="4" xfId="0" applyFont="1" applyFill="1" applyBorder="1" applyAlignment="1">
      <alignment horizontal="center" vertical="top" wrapText="1"/>
    </xf>
    <xf numFmtId="164" fontId="2" fillId="3" borderId="4" xfId="0" applyNumberFormat="1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vertical="top" wrapText="1"/>
    </xf>
    <xf numFmtId="0" fontId="2" fillId="3" borderId="4" xfId="0" applyFont="1" applyFill="1" applyBorder="1" applyAlignment="1">
      <alignment vertical="top" wrapText="1"/>
    </xf>
    <xf numFmtId="0" fontId="2" fillId="4" borderId="4" xfId="0" applyFont="1" applyFill="1" applyBorder="1" applyAlignment="1">
      <alignment horizontal="center" vertical="top" wrapText="1"/>
    </xf>
    <xf numFmtId="164" fontId="2" fillId="4" borderId="4" xfId="0" applyNumberFormat="1" applyFont="1" applyFill="1" applyBorder="1" applyAlignment="1">
      <alignment horizontal="center" vertical="top" wrapText="1"/>
    </xf>
    <xf numFmtId="0" fontId="2" fillId="4" borderId="4" xfId="0" applyFont="1" applyFill="1" applyBorder="1" applyAlignment="1">
      <alignment vertical="top" wrapText="1"/>
    </xf>
    <xf numFmtId="0" fontId="2" fillId="2" borderId="5" xfId="0" applyFont="1" applyFill="1" applyBorder="1" applyAlignment="1">
      <alignment horizontal="center" vertical="top" wrapText="1"/>
    </xf>
    <xf numFmtId="164" fontId="2" fillId="2" borderId="5" xfId="0" applyNumberFormat="1" applyFont="1" applyFill="1" applyBorder="1" applyAlignment="1">
      <alignment horizontal="center" vertical="top" wrapText="1"/>
    </xf>
    <xf numFmtId="0" fontId="2" fillId="2" borderId="5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 wrapText="1"/>
    </xf>
    <xf numFmtId="0" fontId="4" fillId="5" borderId="5" xfId="0" applyFont="1" applyFill="1" applyBorder="1" applyAlignment="1">
      <alignment horizontal="center" vertical="top" wrapText="1"/>
    </xf>
    <xf numFmtId="164" fontId="4" fillId="5" borderId="5" xfId="0" applyNumberFormat="1" applyFont="1" applyFill="1" applyBorder="1" applyAlignment="1">
      <alignment horizontal="center" vertical="top" wrapText="1"/>
    </xf>
    <xf numFmtId="0" fontId="5" fillId="5" borderId="5" xfId="0" applyFont="1" applyFill="1" applyBorder="1" applyAlignment="1">
      <alignment vertical="top" wrapText="1"/>
    </xf>
    <xf numFmtId="0" fontId="4" fillId="5" borderId="5" xfId="0" applyFont="1" applyFill="1" applyBorder="1" applyAlignment="1">
      <alignment vertical="top" wrapText="1"/>
    </xf>
    <xf numFmtId="0" fontId="2" fillId="0" borderId="4" xfId="0" quotePrefix="1" applyFont="1" applyBorder="1" applyAlignment="1">
      <alignment vertical="top" wrapText="1"/>
    </xf>
    <xf numFmtId="0" fontId="6" fillId="6" borderId="5" xfId="0" applyFont="1" applyFill="1" applyBorder="1" applyAlignment="1">
      <alignment horizontal="center"/>
    </xf>
    <xf numFmtId="0" fontId="0" fillId="0" borderId="5" xfId="0" applyBorder="1"/>
    <xf numFmtId="0" fontId="2" fillId="4" borderId="7" xfId="0" applyFont="1" applyFill="1" applyBorder="1" applyAlignment="1">
      <alignment horizontal="center" vertical="top" wrapText="1"/>
    </xf>
    <xf numFmtId="164" fontId="2" fillId="4" borderId="7" xfId="0" applyNumberFormat="1" applyFont="1" applyFill="1" applyBorder="1" applyAlignment="1">
      <alignment horizontal="center" vertical="top" wrapText="1"/>
    </xf>
    <xf numFmtId="0" fontId="2" fillId="4" borderId="7" xfId="0" quotePrefix="1" applyFont="1" applyFill="1" applyBorder="1" applyAlignment="1">
      <alignment vertical="top" wrapText="1"/>
    </xf>
    <xf numFmtId="0" fontId="2" fillId="4" borderId="7" xfId="0" applyFont="1" applyFill="1" applyBorder="1" applyAlignment="1">
      <alignment vertical="top" wrapText="1"/>
    </xf>
    <xf numFmtId="8" fontId="5" fillId="5" borderId="5" xfId="0" applyNumberFormat="1" applyFont="1" applyFill="1" applyBorder="1" applyAlignment="1">
      <alignment vertical="top" wrapText="1"/>
    </xf>
    <xf numFmtId="0" fontId="4" fillId="5" borderId="7" xfId="0" applyFont="1" applyFill="1" applyBorder="1" applyAlignment="1">
      <alignment horizontal="center" vertical="top" wrapText="1"/>
    </xf>
    <xf numFmtId="164" fontId="4" fillId="5" borderId="7" xfId="0" applyNumberFormat="1" applyFont="1" applyFill="1" applyBorder="1" applyAlignment="1">
      <alignment horizontal="center" vertical="top" wrapText="1"/>
    </xf>
    <xf numFmtId="0" fontId="5" fillId="5" borderId="7" xfId="0" applyFont="1" applyFill="1" applyBorder="1" applyAlignment="1">
      <alignment vertical="top" wrapText="1"/>
    </xf>
    <xf numFmtId="0" fontId="4" fillId="5" borderId="7" xfId="0" applyFont="1" applyFill="1" applyBorder="1" applyAlignment="1">
      <alignment vertical="top" wrapText="1"/>
    </xf>
    <xf numFmtId="0" fontId="2" fillId="3" borderId="7" xfId="0" applyFont="1" applyFill="1" applyBorder="1" applyAlignment="1">
      <alignment horizontal="center" vertical="top" wrapText="1"/>
    </xf>
    <xf numFmtId="164" fontId="2" fillId="3" borderId="7" xfId="0" applyNumberFormat="1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vertical="top" wrapText="1"/>
    </xf>
    <xf numFmtId="0" fontId="3" fillId="3" borderId="7" xfId="0" applyFont="1" applyFill="1" applyBorder="1" applyAlignment="1">
      <alignment vertical="top" wrapText="1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0" borderId="5" xfId="0" applyFont="1" applyBorder="1" applyAlignment="1">
      <alignment horizontal="left"/>
    </xf>
    <xf numFmtId="0" fontId="8" fillId="0" borderId="0" xfId="0" applyFont="1" applyAlignment="1">
      <alignment horizontal="left"/>
    </xf>
    <xf numFmtId="21" fontId="9" fillId="0" borderId="5" xfId="0" applyNumberFormat="1" applyFont="1" applyBorder="1" applyAlignment="1">
      <alignment horizontal="left"/>
    </xf>
    <xf numFmtId="14" fontId="9" fillId="0" borderId="5" xfId="0" applyNumberFormat="1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wrapText="1"/>
    </xf>
    <xf numFmtId="0" fontId="8" fillId="0" borderId="16" xfId="0" applyFont="1" applyBorder="1" applyAlignment="1">
      <alignment horizontal="center" wrapText="1"/>
    </xf>
    <xf numFmtId="0" fontId="8" fillId="0" borderId="17" xfId="0" applyFont="1" applyBorder="1" applyAlignment="1">
      <alignment horizontal="center" wrapText="1"/>
    </xf>
    <xf numFmtId="0" fontId="8" fillId="0" borderId="5" xfId="0" applyFont="1" applyBorder="1" applyAlignment="1">
      <alignment horizontal="left" wrapText="1"/>
    </xf>
    <xf numFmtId="0" fontId="1" fillId="0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28"/>
  <sheetViews>
    <sheetView workbookViewId="0">
      <selection activeCell="E6" sqref="E6"/>
    </sheetView>
  </sheetViews>
  <sheetFormatPr baseColWidth="10" defaultRowHeight="15" x14ac:dyDescent="0.25"/>
  <cols>
    <col min="1" max="1" width="24.42578125" customWidth="1"/>
  </cols>
  <sheetData>
    <row r="1" spans="1:3" x14ac:dyDescent="0.25">
      <c r="A1" t="s">
        <v>46</v>
      </c>
      <c r="C1" t="s">
        <v>115</v>
      </c>
    </row>
    <row r="2" spans="1:3" x14ac:dyDescent="0.25">
      <c r="A2" t="s">
        <v>65</v>
      </c>
      <c r="C2" t="s">
        <v>116</v>
      </c>
    </row>
    <row r="3" spans="1:3" x14ac:dyDescent="0.25">
      <c r="A3" t="s">
        <v>67</v>
      </c>
      <c r="C3" t="s">
        <v>117</v>
      </c>
    </row>
    <row r="4" spans="1:3" x14ac:dyDescent="0.25">
      <c r="A4" t="s">
        <v>51</v>
      </c>
      <c r="C4" t="s">
        <v>118</v>
      </c>
    </row>
    <row r="5" spans="1:3" x14ac:dyDescent="0.25">
      <c r="A5" t="s">
        <v>64</v>
      </c>
      <c r="C5" t="s">
        <v>119</v>
      </c>
    </row>
    <row r="6" spans="1:3" x14ac:dyDescent="0.25">
      <c r="A6" t="s">
        <v>60</v>
      </c>
      <c r="C6" t="s">
        <v>120</v>
      </c>
    </row>
    <row r="7" spans="1:3" x14ac:dyDescent="0.25">
      <c r="A7" t="s">
        <v>50</v>
      </c>
      <c r="C7" t="s">
        <v>121</v>
      </c>
    </row>
    <row r="8" spans="1:3" x14ac:dyDescent="0.25">
      <c r="A8" t="s">
        <v>57</v>
      </c>
    </row>
    <row r="9" spans="1:3" x14ac:dyDescent="0.25">
      <c r="A9" t="s">
        <v>63</v>
      </c>
    </row>
    <row r="10" spans="1:3" x14ac:dyDescent="0.25">
      <c r="A10" t="s">
        <v>61</v>
      </c>
    </row>
    <row r="11" spans="1:3" x14ac:dyDescent="0.25">
      <c r="A11" t="s">
        <v>54</v>
      </c>
    </row>
    <row r="12" spans="1:3" x14ac:dyDescent="0.25">
      <c r="A12" t="s">
        <v>56</v>
      </c>
    </row>
    <row r="13" spans="1:3" x14ac:dyDescent="0.25">
      <c r="A13" t="s">
        <v>52</v>
      </c>
    </row>
    <row r="14" spans="1:3" x14ac:dyDescent="0.25">
      <c r="A14" t="s">
        <v>49</v>
      </c>
    </row>
    <row r="15" spans="1:3" x14ac:dyDescent="0.25">
      <c r="A15" t="s">
        <v>40</v>
      </c>
    </row>
    <row r="16" spans="1:3" x14ac:dyDescent="0.25">
      <c r="A16" t="s">
        <v>55</v>
      </c>
    </row>
    <row r="17" spans="1:1" x14ac:dyDescent="0.25">
      <c r="A17" t="s">
        <v>62</v>
      </c>
    </row>
    <row r="18" spans="1:1" x14ac:dyDescent="0.25">
      <c r="A18" t="s">
        <v>59</v>
      </c>
    </row>
    <row r="19" spans="1:1" x14ac:dyDescent="0.25">
      <c r="A19" t="s">
        <v>44</v>
      </c>
    </row>
    <row r="20" spans="1:1" x14ac:dyDescent="0.25">
      <c r="A20" t="s">
        <v>47</v>
      </c>
    </row>
    <row r="21" spans="1:1" x14ac:dyDescent="0.25">
      <c r="A21" t="s">
        <v>42</v>
      </c>
    </row>
    <row r="22" spans="1:1" x14ac:dyDescent="0.25">
      <c r="A22" t="s">
        <v>66</v>
      </c>
    </row>
    <row r="23" spans="1:1" x14ac:dyDescent="0.25">
      <c r="A23" t="s">
        <v>58</v>
      </c>
    </row>
    <row r="24" spans="1:1" x14ac:dyDescent="0.25">
      <c r="A24" t="s">
        <v>43</v>
      </c>
    </row>
    <row r="25" spans="1:1" x14ac:dyDescent="0.25">
      <c r="A25" t="s">
        <v>41</v>
      </c>
    </row>
    <row r="26" spans="1:1" x14ac:dyDescent="0.25">
      <c r="A26" t="s">
        <v>53</v>
      </c>
    </row>
    <row r="27" spans="1:1" x14ac:dyDescent="0.25">
      <c r="A27" t="s">
        <v>45</v>
      </c>
    </row>
    <row r="28" spans="1:1" x14ac:dyDescent="0.25">
      <c r="A28" t="s">
        <v>48</v>
      </c>
    </row>
  </sheetData>
  <sortState ref="A1:A28">
    <sortCondition ref="A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6" tint="0.39997558519241921"/>
  </sheetPr>
  <dimension ref="B1:J16"/>
  <sheetViews>
    <sheetView workbookViewId="0">
      <selection activeCell="C34" sqref="C34"/>
    </sheetView>
  </sheetViews>
  <sheetFormatPr baseColWidth="10" defaultRowHeight="14.25" x14ac:dyDescent="0.2"/>
  <cols>
    <col min="1" max="4" width="11.42578125" style="57"/>
    <col min="5" max="5" width="37.42578125" style="57" customWidth="1"/>
    <col min="6" max="6" width="2.140625" style="57" customWidth="1"/>
    <col min="7" max="16384" width="11.42578125" style="57"/>
  </cols>
  <sheetData>
    <row r="1" spans="2:10" ht="15" thickBot="1" x14ac:dyDescent="0.25"/>
    <row r="2" spans="2:10" x14ac:dyDescent="0.2">
      <c r="B2" s="65" t="s">
        <v>102</v>
      </c>
      <c r="C2" s="66"/>
      <c r="D2" s="66"/>
      <c r="E2" s="66"/>
      <c r="F2" s="66"/>
      <c r="G2" s="66"/>
      <c r="H2" s="66"/>
      <c r="I2" s="66"/>
      <c r="J2" s="67"/>
    </row>
    <row r="3" spans="2:10" x14ac:dyDescent="0.2">
      <c r="B3" s="68"/>
      <c r="C3" s="69"/>
      <c r="D3" s="69"/>
      <c r="E3" s="69"/>
      <c r="F3" s="69"/>
      <c r="G3" s="69"/>
      <c r="H3" s="69"/>
      <c r="I3" s="69"/>
      <c r="J3" s="70"/>
    </row>
    <row r="4" spans="2:10" ht="15" thickBot="1" x14ac:dyDescent="0.25">
      <c r="B4" s="71"/>
      <c r="C4" s="72"/>
      <c r="D4" s="72"/>
      <c r="E4" s="72"/>
      <c r="F4" s="72"/>
      <c r="G4" s="72"/>
      <c r="H4" s="72"/>
      <c r="I4" s="72"/>
      <c r="J4" s="73"/>
    </row>
    <row r="5" spans="2:10" ht="15" thickBot="1" x14ac:dyDescent="0.25"/>
    <row r="6" spans="2:10" ht="15.75" thickBot="1" x14ac:dyDescent="0.3">
      <c r="B6" s="74" t="s">
        <v>103</v>
      </c>
      <c r="C6" s="75"/>
      <c r="D6" s="75"/>
      <c r="E6" s="75"/>
      <c r="F6" s="75"/>
      <c r="G6" s="75"/>
      <c r="H6" s="75"/>
      <c r="I6" s="75"/>
      <c r="J6" s="76"/>
    </row>
    <row r="8" spans="2:10" ht="15" x14ac:dyDescent="0.25">
      <c r="B8" s="77" t="s">
        <v>104</v>
      </c>
      <c r="C8" s="77"/>
      <c r="D8" s="77"/>
      <c r="E8" s="59">
        <v>2020</v>
      </c>
    </row>
    <row r="9" spans="2:10" ht="15" x14ac:dyDescent="0.25">
      <c r="B9" s="63" t="s">
        <v>105</v>
      </c>
      <c r="C9" s="63"/>
      <c r="D9" s="63"/>
      <c r="E9" s="59" t="s">
        <v>114</v>
      </c>
    </row>
    <row r="10" spans="2:10" ht="15" x14ac:dyDescent="0.25">
      <c r="B10" s="63" t="s">
        <v>112</v>
      </c>
      <c r="C10" s="63"/>
      <c r="D10" s="63"/>
      <c r="E10" s="62">
        <v>43925</v>
      </c>
      <c r="G10" s="64" t="s">
        <v>113</v>
      </c>
      <c r="H10" s="64"/>
      <c r="I10" s="64"/>
    </row>
    <row r="11" spans="2:10" ht="15" x14ac:dyDescent="0.25">
      <c r="B11" s="63" t="s">
        <v>106</v>
      </c>
      <c r="C11" s="63"/>
      <c r="D11" s="63"/>
      <c r="E11" s="61">
        <v>0.41666666666666669</v>
      </c>
      <c r="G11" s="64" t="s">
        <v>111</v>
      </c>
      <c r="H11" s="64"/>
      <c r="I11" s="64"/>
    </row>
    <row r="12" spans="2:10" ht="15" x14ac:dyDescent="0.25">
      <c r="B12" s="63" t="s">
        <v>107</v>
      </c>
      <c r="C12" s="63"/>
      <c r="D12" s="63"/>
      <c r="E12" s="61">
        <v>0.4375</v>
      </c>
      <c r="G12" s="64" t="s">
        <v>111</v>
      </c>
      <c r="H12" s="64"/>
      <c r="I12" s="64"/>
    </row>
    <row r="13" spans="2:10" ht="15" x14ac:dyDescent="0.25">
      <c r="B13" s="63" t="s">
        <v>108</v>
      </c>
      <c r="C13" s="63"/>
      <c r="D13" s="63"/>
      <c r="E13" s="61">
        <v>0.47916666666666669</v>
      </c>
      <c r="G13" s="64" t="s">
        <v>111</v>
      </c>
      <c r="H13" s="64"/>
      <c r="I13" s="64"/>
    </row>
    <row r="14" spans="2:10" ht="15" x14ac:dyDescent="0.25">
      <c r="B14" s="63" t="s">
        <v>109</v>
      </c>
      <c r="C14" s="63"/>
      <c r="D14" s="63"/>
      <c r="E14" s="61">
        <v>0.5</v>
      </c>
      <c r="G14" s="64" t="s">
        <v>111</v>
      </c>
      <c r="H14" s="64"/>
      <c r="I14" s="64"/>
    </row>
    <row r="15" spans="2:10" ht="15" x14ac:dyDescent="0.25">
      <c r="B15" s="60"/>
      <c r="C15" s="60"/>
      <c r="D15" s="60"/>
      <c r="E15" s="58"/>
    </row>
    <row r="16" spans="2:10" ht="15" x14ac:dyDescent="0.25">
      <c r="B16" s="63" t="s">
        <v>110</v>
      </c>
      <c r="C16" s="63"/>
      <c r="D16" s="63"/>
      <c r="E16" s="59">
        <v>1</v>
      </c>
    </row>
  </sheetData>
  <mergeCells count="15">
    <mergeCell ref="B2:J4"/>
    <mergeCell ref="B6:J6"/>
    <mergeCell ref="B8:D8"/>
    <mergeCell ref="B9:D9"/>
    <mergeCell ref="B11:D11"/>
    <mergeCell ref="B10:D10"/>
    <mergeCell ref="G10:I10"/>
    <mergeCell ref="B13:D13"/>
    <mergeCell ref="B14:D14"/>
    <mergeCell ref="B16:D16"/>
    <mergeCell ref="G11:I11"/>
    <mergeCell ref="G12:I12"/>
    <mergeCell ref="G13:I13"/>
    <mergeCell ref="G14:I14"/>
    <mergeCell ref="B12:D1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  <pageSetUpPr fitToPage="1"/>
  </sheetPr>
  <dimension ref="A1:I30"/>
  <sheetViews>
    <sheetView tabSelected="1" zoomScale="90" zoomScaleNormal="9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4" sqref="D4"/>
    </sheetView>
  </sheetViews>
  <sheetFormatPr baseColWidth="10" defaultRowHeight="16.5" x14ac:dyDescent="0.25"/>
  <cols>
    <col min="1" max="1" width="3" style="10" customWidth="1"/>
    <col min="2" max="3" width="7.85546875" style="14" customWidth="1"/>
    <col min="4" max="4" width="33.28515625" style="6" customWidth="1"/>
    <col min="5" max="5" width="84.42578125" style="6" customWidth="1"/>
    <col min="6" max="9" width="15.85546875" style="6" customWidth="1"/>
    <col min="10" max="16384" width="11.42578125" style="6"/>
  </cols>
  <sheetData>
    <row r="1" spans="1:9" s="1" customFormat="1" ht="37.5" customHeight="1" thickBot="1" x14ac:dyDescent="0.3">
      <c r="A1" s="78" t="str">
        <f>CONCATENATE("FRAT ",infos!E8)</f>
        <v>FRAT 2020</v>
      </c>
      <c r="B1" s="78"/>
      <c r="C1" s="78"/>
      <c r="D1" s="22" t="str">
        <f>UPPER(infos!E9)</f>
        <v>CÉLÉBRATION</v>
      </c>
      <c r="E1" s="78" t="str">
        <f>CONCATENATE("Date : ",DAY(infos!E10),"/",MONTH(infos!E10),"/",YEAR(infos!E10),"  –  ","version : ",infos!E16,"  –  ","chargement : ",HOUR(infos!E11),"h",RIGHT("0"&amp;MINUTE(infos!E11),2),"  –  ","début : ",HOUR(infos!E12),"h",RIGHT("0"&amp;MINUTE(infos!E12),2),"  –  ","fin : ",HOUR(infos!E13),"h",RIGHT("0"&amp;MINUTE(infos!E13),2))</f>
        <v>Date : 4/4/2020  –  version : 1  –  chargement : 10h00  –  début : 10h30  –  fin : 11h30</v>
      </c>
      <c r="F1" s="78"/>
      <c r="G1" s="78"/>
      <c r="H1" s="78"/>
      <c r="I1" s="78"/>
    </row>
    <row r="2" spans="1:9" s="1" customFormat="1" ht="28.5" customHeight="1" thickBot="1" x14ac:dyDescent="0.3">
      <c r="A2" s="2" t="s">
        <v>0</v>
      </c>
      <c r="B2" s="11" t="s">
        <v>1</v>
      </c>
      <c r="C2" s="11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</row>
    <row r="3" spans="1:9" x14ac:dyDescent="0.25">
      <c r="A3" s="3"/>
      <c r="B3" s="12"/>
      <c r="C3" s="12"/>
      <c r="D3" s="4" t="s">
        <v>9</v>
      </c>
      <c r="E3" s="5"/>
      <c r="F3" s="4" t="s">
        <v>16</v>
      </c>
      <c r="G3" s="4" t="s">
        <v>18</v>
      </c>
      <c r="H3" s="4" t="s">
        <v>18</v>
      </c>
      <c r="I3" s="4" t="s">
        <v>18</v>
      </c>
    </row>
    <row r="4" spans="1:9" ht="132" x14ac:dyDescent="0.25">
      <c r="A4" s="7"/>
      <c r="B4" s="13"/>
      <c r="C4" s="13"/>
      <c r="D4" s="8" t="s">
        <v>25</v>
      </c>
      <c r="E4" s="8"/>
      <c r="F4" s="8" t="s">
        <v>17</v>
      </c>
      <c r="G4" s="8" t="s">
        <v>19</v>
      </c>
      <c r="H4" s="8" t="s">
        <v>20</v>
      </c>
      <c r="I4" s="8" t="s">
        <v>26</v>
      </c>
    </row>
    <row r="5" spans="1:9" x14ac:dyDescent="0.25">
      <c r="A5" s="7"/>
      <c r="B5" s="13"/>
      <c r="C5" s="13"/>
      <c r="D5" s="8"/>
      <c r="E5" s="8"/>
      <c r="F5" s="8"/>
      <c r="G5" s="8"/>
      <c r="H5" s="8"/>
      <c r="I5" s="8"/>
    </row>
    <row r="6" spans="1:9" x14ac:dyDescent="0.25">
      <c r="A6" s="7"/>
      <c r="B6" s="13"/>
      <c r="C6" s="13"/>
      <c r="D6" s="9" t="s">
        <v>11</v>
      </c>
      <c r="E6" s="8"/>
      <c r="F6" s="9"/>
      <c r="G6" s="8"/>
      <c r="H6" s="8"/>
      <c r="I6" s="8"/>
    </row>
    <row r="7" spans="1:9" ht="33" x14ac:dyDescent="0.25">
      <c r="A7" s="7"/>
      <c r="B7" s="13"/>
      <c r="C7" s="13"/>
      <c r="D7" s="41" t="s">
        <v>12</v>
      </c>
      <c r="E7" s="8"/>
      <c r="F7" s="8"/>
      <c r="G7" s="8"/>
      <c r="H7" s="8"/>
      <c r="I7" s="8"/>
    </row>
    <row r="8" spans="1:9" x14ac:dyDescent="0.25">
      <c r="A8" s="7"/>
      <c r="B8" s="13"/>
      <c r="C8" s="13"/>
      <c r="D8" s="8"/>
      <c r="E8" s="8"/>
      <c r="F8" s="8"/>
      <c r="G8" s="8"/>
      <c r="H8" s="8"/>
      <c r="I8" s="8"/>
    </row>
    <row r="9" spans="1:9" x14ac:dyDescent="0.25">
      <c r="A9" s="7"/>
      <c r="B9" s="13"/>
      <c r="C9" s="13"/>
      <c r="D9" s="9" t="s">
        <v>10</v>
      </c>
      <c r="E9" s="8"/>
      <c r="F9" s="8"/>
      <c r="G9" s="8"/>
      <c r="H9" s="8"/>
      <c r="I9" s="8"/>
    </row>
    <row r="10" spans="1:9" ht="33" x14ac:dyDescent="0.25">
      <c r="A10" s="7"/>
      <c r="B10" s="13"/>
      <c r="C10" s="13"/>
      <c r="D10" s="8" t="s">
        <v>13</v>
      </c>
      <c r="E10" s="8"/>
      <c r="F10" s="8"/>
      <c r="G10" s="8"/>
      <c r="H10" s="8"/>
      <c r="I10" s="8"/>
    </row>
    <row r="11" spans="1:9" x14ac:dyDescent="0.25">
      <c r="A11" s="7"/>
      <c r="B11" s="13"/>
      <c r="C11" s="13"/>
      <c r="D11" s="41"/>
      <c r="E11" s="8"/>
      <c r="F11" s="8"/>
      <c r="G11" s="8"/>
      <c r="H11" s="8"/>
      <c r="I11" s="8"/>
    </row>
    <row r="12" spans="1:9" x14ac:dyDescent="0.25">
      <c r="A12" s="7"/>
      <c r="B12" s="13"/>
      <c r="C12" s="13"/>
      <c r="D12" s="9" t="s">
        <v>14</v>
      </c>
      <c r="E12" s="8"/>
      <c r="F12" s="8"/>
      <c r="G12" s="8"/>
      <c r="H12" s="8"/>
      <c r="I12" s="8"/>
    </row>
    <row r="13" spans="1:9" ht="49.5" x14ac:dyDescent="0.25">
      <c r="A13" s="7"/>
      <c r="B13" s="13"/>
      <c r="C13" s="13"/>
      <c r="D13" s="8" t="s">
        <v>15</v>
      </c>
      <c r="E13" s="8"/>
      <c r="F13" s="8"/>
      <c r="G13" s="8"/>
      <c r="H13" s="8"/>
      <c r="I13" s="8"/>
    </row>
    <row r="14" spans="1:9" x14ac:dyDescent="0.25">
      <c r="A14" s="7"/>
      <c r="B14" s="13"/>
      <c r="C14" s="13"/>
      <c r="D14" s="8"/>
      <c r="E14" s="8"/>
      <c r="F14" s="8"/>
      <c r="G14" s="8"/>
      <c r="H14" s="8"/>
      <c r="I14" s="8"/>
    </row>
    <row r="15" spans="1:9" ht="99" x14ac:dyDescent="0.25">
      <c r="A15" s="33">
        <v>0</v>
      </c>
      <c r="B15" s="34">
        <v>2.7777777777777779E-3</v>
      </c>
      <c r="C15" s="34">
        <f>infos!E11</f>
        <v>0.41666666666666669</v>
      </c>
      <c r="D15" s="36" t="s">
        <v>97</v>
      </c>
      <c r="E15" s="36" t="s">
        <v>36</v>
      </c>
      <c r="F15" s="35"/>
      <c r="G15" s="35"/>
      <c r="H15" s="35"/>
      <c r="I15" s="35"/>
    </row>
    <row r="16" spans="1:9" x14ac:dyDescent="0.25">
      <c r="A16" s="30">
        <f t="shared" ref="A16:A30" si="0">A15+1</f>
        <v>1</v>
      </c>
      <c r="B16" s="31">
        <v>6.9444444444444447E-4</v>
      </c>
      <c r="C16" s="31">
        <f t="shared" ref="C16:C30" si="1">C15+B15</f>
        <v>0.41944444444444445</v>
      </c>
      <c r="D16" s="32" t="s">
        <v>28</v>
      </c>
      <c r="E16" s="32" t="s">
        <v>29</v>
      </c>
      <c r="F16" s="32"/>
      <c r="G16" s="32"/>
      <c r="H16" s="32"/>
      <c r="I16" s="32"/>
    </row>
    <row r="17" spans="1:9" x14ac:dyDescent="0.25">
      <c r="A17" s="18">
        <f t="shared" si="0"/>
        <v>2</v>
      </c>
      <c r="B17" s="19">
        <v>3.4722222222222224E-4</v>
      </c>
      <c r="C17" s="19">
        <f t="shared" si="1"/>
        <v>0.4201388888888889</v>
      </c>
      <c r="D17" s="20" t="s">
        <v>30</v>
      </c>
      <c r="E17" s="20" t="s">
        <v>31</v>
      </c>
      <c r="F17" s="21"/>
      <c r="G17" s="21"/>
      <c r="H17" s="21"/>
      <c r="I17" s="21"/>
    </row>
    <row r="18" spans="1:9" x14ac:dyDescent="0.25">
      <c r="A18" s="23">
        <f t="shared" si="0"/>
        <v>3</v>
      </c>
      <c r="B18" s="24">
        <v>2.7777777777777779E-3</v>
      </c>
      <c r="C18" s="24">
        <f t="shared" si="1"/>
        <v>0.42048611111111112</v>
      </c>
      <c r="D18" s="25" t="s">
        <v>37</v>
      </c>
      <c r="E18" s="25"/>
      <c r="F18" s="25"/>
      <c r="G18" s="25"/>
      <c r="H18" s="25"/>
      <c r="I18" s="25"/>
    </row>
    <row r="19" spans="1:9" x14ac:dyDescent="0.25">
      <c r="A19" s="23">
        <f t="shared" si="0"/>
        <v>4</v>
      </c>
      <c r="B19" s="24">
        <v>1.1458333333333334E-2</v>
      </c>
      <c r="C19" s="24">
        <f t="shared" si="1"/>
        <v>0.42326388888888888</v>
      </c>
      <c r="D19" s="25" t="s">
        <v>32</v>
      </c>
      <c r="E19" s="25"/>
      <c r="F19" s="25"/>
      <c r="G19" s="25"/>
      <c r="H19" s="25"/>
      <c r="I19" s="25"/>
    </row>
    <row r="20" spans="1:9" x14ac:dyDescent="0.25">
      <c r="A20" s="18">
        <f t="shared" si="0"/>
        <v>5</v>
      </c>
      <c r="B20" s="19">
        <v>2.7777777777777779E-3</v>
      </c>
      <c r="C20" s="19">
        <f t="shared" si="1"/>
        <v>0.43472222222222223</v>
      </c>
      <c r="D20" s="20" t="s">
        <v>33</v>
      </c>
      <c r="E20" s="20" t="s">
        <v>21</v>
      </c>
      <c r="F20" s="21"/>
      <c r="G20" s="21"/>
      <c r="H20" s="21"/>
      <c r="I20" s="21"/>
    </row>
    <row r="21" spans="1:9" x14ac:dyDescent="0.25">
      <c r="A21" s="37">
        <f t="shared" si="0"/>
        <v>6</v>
      </c>
      <c r="B21" s="38">
        <v>2.0833333333333333E-3</v>
      </c>
      <c r="C21" s="38">
        <f t="shared" si="1"/>
        <v>0.4375</v>
      </c>
      <c r="D21" s="48" t="s">
        <v>34</v>
      </c>
      <c r="E21" s="39" t="s">
        <v>39</v>
      </c>
      <c r="F21" s="40"/>
      <c r="G21" s="40"/>
      <c r="H21" s="40"/>
      <c r="I21" s="40"/>
    </row>
    <row r="22" spans="1:9" x14ac:dyDescent="0.25">
      <c r="A22" s="44">
        <f t="shared" si="0"/>
        <v>7</v>
      </c>
      <c r="B22" s="45">
        <v>6.9444444444444447E-4</v>
      </c>
      <c r="C22" s="45">
        <f t="shared" si="1"/>
        <v>0.43958333333333333</v>
      </c>
      <c r="D22" s="46" t="s">
        <v>23</v>
      </c>
      <c r="E22" s="47" t="s">
        <v>24</v>
      </c>
      <c r="F22" s="47"/>
      <c r="G22" s="47"/>
      <c r="H22" s="47"/>
      <c r="I22" s="47"/>
    </row>
    <row r="23" spans="1:9" x14ac:dyDescent="0.25">
      <c r="A23" s="26">
        <f t="shared" si="0"/>
        <v>8</v>
      </c>
      <c r="B23" s="27">
        <v>2.7777777777777779E-3</v>
      </c>
      <c r="C23" s="27">
        <f t="shared" si="1"/>
        <v>0.44027777777777777</v>
      </c>
      <c r="D23" s="28" t="s">
        <v>22</v>
      </c>
      <c r="E23" s="28" t="s">
        <v>35</v>
      </c>
      <c r="F23" s="29"/>
      <c r="G23" s="29"/>
      <c r="H23" s="29"/>
      <c r="I23" s="29"/>
    </row>
    <row r="24" spans="1:9" x14ac:dyDescent="0.25">
      <c r="A24" s="33">
        <f>A23+1</f>
        <v>9</v>
      </c>
      <c r="B24" s="34">
        <v>2.7777777777777779E-3</v>
      </c>
      <c r="C24" s="34">
        <f>C23+B23</f>
        <v>0.44305555555555554</v>
      </c>
      <c r="D24" s="36" t="s">
        <v>98</v>
      </c>
      <c r="E24" s="36" t="s">
        <v>99</v>
      </c>
      <c r="F24" s="35"/>
      <c r="G24" s="35"/>
      <c r="H24" s="35"/>
      <c r="I24" s="35"/>
    </row>
    <row r="25" spans="1:9" x14ac:dyDescent="0.25">
      <c r="A25" s="53">
        <f>A24+1</f>
        <v>10</v>
      </c>
      <c r="B25" s="54">
        <v>6.9444444444444447E-4</v>
      </c>
      <c r="C25" s="54">
        <f>C24+B24</f>
        <v>0.4458333333333333</v>
      </c>
      <c r="D25" s="56" t="s">
        <v>100</v>
      </c>
      <c r="E25" s="55" t="s">
        <v>101</v>
      </c>
      <c r="F25" s="55"/>
      <c r="G25" s="55"/>
      <c r="H25" s="55"/>
      <c r="I25" s="55"/>
    </row>
    <row r="26" spans="1:9" ht="99" x14ac:dyDescent="0.25">
      <c r="A26" s="49">
        <f>A25+1</f>
        <v>11</v>
      </c>
      <c r="B26" s="50">
        <v>2.7777777777777779E-3</v>
      </c>
      <c r="C26" s="50">
        <f>C25+B25</f>
        <v>0.44652777777777775</v>
      </c>
      <c r="D26" s="51" t="s">
        <v>97</v>
      </c>
      <c r="E26" s="51" t="s">
        <v>27</v>
      </c>
      <c r="F26" s="52"/>
      <c r="G26" s="52"/>
      <c r="H26" s="52"/>
      <c r="I26" s="52"/>
    </row>
    <row r="27" spans="1:9" x14ac:dyDescent="0.25">
      <c r="A27" s="30">
        <f t="shared" si="0"/>
        <v>12</v>
      </c>
      <c r="B27" s="31">
        <v>6.9444444444444447E-4</v>
      </c>
      <c r="C27" s="31">
        <f t="shared" si="1"/>
        <v>0.44930555555555551</v>
      </c>
      <c r="D27" s="32" t="s">
        <v>28</v>
      </c>
      <c r="E27" s="32" t="s">
        <v>29</v>
      </c>
      <c r="F27" s="32"/>
      <c r="G27" s="32"/>
      <c r="H27" s="32"/>
      <c r="I27" s="32"/>
    </row>
    <row r="28" spans="1:9" x14ac:dyDescent="0.25">
      <c r="A28" s="18">
        <f t="shared" si="0"/>
        <v>13</v>
      </c>
      <c r="B28" s="19">
        <v>3.4722222222222224E-4</v>
      </c>
      <c r="C28" s="19">
        <f t="shared" si="1"/>
        <v>0.44999999999999996</v>
      </c>
      <c r="D28" s="20" t="s">
        <v>30</v>
      </c>
      <c r="E28" s="20" t="s">
        <v>31</v>
      </c>
      <c r="F28" s="21"/>
      <c r="G28" s="21"/>
      <c r="H28" s="21"/>
      <c r="I28" s="21"/>
    </row>
    <row r="29" spans="1:9" x14ac:dyDescent="0.25">
      <c r="A29" s="18">
        <f t="shared" si="0"/>
        <v>14</v>
      </c>
      <c r="B29" s="19">
        <v>2.7777777777777779E-3</v>
      </c>
      <c r="C29" s="19">
        <f t="shared" si="1"/>
        <v>0.45034722222222218</v>
      </c>
      <c r="D29" s="20" t="s">
        <v>37</v>
      </c>
      <c r="E29" s="20"/>
      <c r="F29" s="21"/>
      <c r="G29" s="21"/>
      <c r="H29" s="21"/>
      <c r="I29" s="21"/>
    </row>
    <row r="30" spans="1:9" x14ac:dyDescent="0.25">
      <c r="A30" s="15">
        <f t="shared" si="0"/>
        <v>15</v>
      </c>
      <c r="B30" s="16">
        <v>8.6805555555555559E-3</v>
      </c>
      <c r="C30" s="16">
        <f t="shared" si="1"/>
        <v>0.45312499999999994</v>
      </c>
      <c r="D30" s="17" t="s">
        <v>38</v>
      </c>
      <c r="E30" s="17"/>
      <c r="F30" s="17"/>
      <c r="G30" s="17"/>
      <c r="H30" s="17"/>
      <c r="I30" s="17"/>
    </row>
  </sheetData>
  <mergeCells count="2">
    <mergeCell ref="A1:C1"/>
    <mergeCell ref="E1:I1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59999389629810485"/>
  </sheetPr>
  <dimension ref="A1:C11"/>
  <sheetViews>
    <sheetView workbookViewId="0">
      <selection activeCell="C5" sqref="C5"/>
    </sheetView>
  </sheetViews>
  <sheetFormatPr baseColWidth="10" defaultRowHeight="15" x14ac:dyDescent="0.25"/>
  <cols>
    <col min="1" max="1" width="30.5703125" bestFit="1" customWidth="1"/>
    <col min="2" max="2" width="28.42578125" customWidth="1"/>
    <col min="3" max="3" width="99.85546875" bestFit="1" customWidth="1"/>
  </cols>
  <sheetData>
    <row r="1" spans="1:3" x14ac:dyDescent="0.25">
      <c r="A1" s="42" t="s">
        <v>68</v>
      </c>
      <c r="B1" s="42" t="s">
        <v>69</v>
      </c>
      <c r="C1" s="42" t="s">
        <v>70</v>
      </c>
    </row>
    <row r="2" spans="1:3" x14ac:dyDescent="0.25">
      <c r="A2" s="43" t="s">
        <v>87</v>
      </c>
      <c r="B2" s="43" t="s">
        <v>71</v>
      </c>
      <c r="C2" s="43" t="s">
        <v>72</v>
      </c>
    </row>
    <row r="3" spans="1:3" x14ac:dyDescent="0.25">
      <c r="A3" s="43" t="s">
        <v>88</v>
      </c>
      <c r="B3" s="43" t="s">
        <v>73</v>
      </c>
      <c r="C3" s="43" t="s">
        <v>74</v>
      </c>
    </row>
    <row r="4" spans="1:3" x14ac:dyDescent="0.25">
      <c r="A4" s="43" t="s">
        <v>89</v>
      </c>
      <c r="B4" s="43" t="s">
        <v>75</v>
      </c>
      <c r="C4" s="43" t="s">
        <v>76</v>
      </c>
    </row>
    <row r="5" spans="1:3" x14ac:dyDescent="0.25">
      <c r="A5" s="43" t="s">
        <v>90</v>
      </c>
      <c r="B5" s="43" t="s">
        <v>77</v>
      </c>
      <c r="C5" s="43" t="s">
        <v>78</v>
      </c>
    </row>
    <row r="6" spans="1:3" x14ac:dyDescent="0.25">
      <c r="A6" s="43" t="s">
        <v>91</v>
      </c>
      <c r="B6" s="43" t="s">
        <v>79</v>
      </c>
      <c r="C6" s="43" t="s">
        <v>80</v>
      </c>
    </row>
    <row r="7" spans="1:3" x14ac:dyDescent="0.25">
      <c r="A7" s="43" t="s">
        <v>92</v>
      </c>
      <c r="B7" s="43" t="s">
        <v>81</v>
      </c>
      <c r="C7" s="43" t="s">
        <v>82</v>
      </c>
    </row>
    <row r="8" spans="1:3" x14ac:dyDescent="0.25">
      <c r="A8" s="43" t="s">
        <v>93</v>
      </c>
      <c r="B8" s="43" t="s">
        <v>83</v>
      </c>
      <c r="C8" s="43" t="s">
        <v>84</v>
      </c>
    </row>
    <row r="9" spans="1:3" x14ac:dyDescent="0.25">
      <c r="A9" s="43" t="s">
        <v>94</v>
      </c>
      <c r="B9" s="43" t="s">
        <v>85</v>
      </c>
      <c r="C9" s="43" t="s">
        <v>96</v>
      </c>
    </row>
    <row r="10" spans="1:3" x14ac:dyDescent="0.25">
      <c r="A10" s="43" t="s">
        <v>95</v>
      </c>
      <c r="B10" s="43" t="s">
        <v>86</v>
      </c>
      <c r="C10" s="43" t="s">
        <v>124</v>
      </c>
    </row>
    <row r="11" spans="1:3" x14ac:dyDescent="0.25">
      <c r="A11" s="43" t="s">
        <v>122</v>
      </c>
      <c r="B11" s="43" t="s">
        <v>123</v>
      </c>
      <c r="C11" s="43" t="s">
        <v>125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referents</vt:lpstr>
      <vt:lpstr>infos</vt:lpstr>
      <vt:lpstr>celebration</vt:lpstr>
      <vt:lpstr>shortcuts</vt:lpstr>
      <vt:lpstr>celebration!Impression_des_titres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GRELOT Bertrand DTRS/DOSM</dc:creator>
  <cp:lastModifiedBy>GRELOT Bertrand DTRS/DOSM</cp:lastModifiedBy>
  <cp:lastPrinted>2019-07-15T07:36:35Z</cp:lastPrinted>
  <dcterms:created xsi:type="dcterms:W3CDTF">2018-01-08T10:32:15Z</dcterms:created>
  <dcterms:modified xsi:type="dcterms:W3CDTF">2019-07-16T15:27:52Z</dcterms:modified>
</cp:coreProperties>
</file>